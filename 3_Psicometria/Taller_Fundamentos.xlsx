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sSanAlfonso\"/>
    </mc:Choice>
  </mc:AlternateContent>
  <xr:revisionPtr revIDLastSave="0" documentId="8_{EEB92E99-DF6A-4AAB-B34F-BB34FA670F4F}" xr6:coauthVersionLast="47" xr6:coauthVersionMax="47" xr10:uidLastSave="{00000000-0000-0000-0000-000000000000}"/>
  <bookViews>
    <workbookView xWindow="-110" yWindow="-110" windowWidth="19420" windowHeight="11500" activeTab="1" xr2:uid="{562F1B6A-6829-4AA2-9F01-022B7C169AF3}"/>
  </bookViews>
  <sheets>
    <sheet name="Auto Estima" sheetId="1" r:id="rId1"/>
    <sheet name="Razonamiento Abstracto" sheetId="3" r:id="rId2"/>
  </sheets>
  <definedNames>
    <definedName name="_xlnm._FilterDatabase" localSheetId="0" hidden="1">'Auto Estima'!$A$1:$A$20</definedName>
    <definedName name="_xlchart.v1.0" hidden="1">'Auto Estima'!$A$2:$A$20</definedName>
    <definedName name="_xlchart.v1.1" hidden="1">'Auto Estima'!$A$2:$A$20</definedName>
    <definedName name="_xlchart.v1.2" hidden="1">'Auto Estima'!$A$2:$A$20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3" l="1"/>
  <c r="B25" i="3"/>
  <c r="B24" i="3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" i="1"/>
  <c r="B32" i="1"/>
  <c r="B31" i="1"/>
  <c r="B27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4" i="1"/>
  <c r="B26" i="1"/>
  <c r="B25" i="1"/>
  <c r="B5" i="3" l="1"/>
  <c r="B11" i="3"/>
  <c r="B17" i="3"/>
  <c r="B6" i="3"/>
  <c r="B12" i="3"/>
  <c r="B7" i="3"/>
  <c r="B13" i="3"/>
  <c r="B19" i="3"/>
  <c r="B4" i="3"/>
  <c r="B16" i="3"/>
  <c r="B18" i="3"/>
  <c r="B10" i="3"/>
  <c r="B2" i="3"/>
  <c r="B8" i="3"/>
  <c r="B14" i="3"/>
  <c r="B20" i="3"/>
  <c r="B3" i="3"/>
  <c r="B9" i="3"/>
  <c r="B15" i="3"/>
  <c r="B28" i="1"/>
  <c r="B27" i="3" l="1"/>
  <c r="B28" i="3" s="1"/>
  <c r="B32" i="3" l="1"/>
  <c r="C12" i="3"/>
  <c r="C13" i="3"/>
  <c r="C8" i="3"/>
  <c r="C19" i="3"/>
  <c r="C9" i="3"/>
  <c r="C4" i="3"/>
  <c r="C16" i="3"/>
  <c r="C20" i="3"/>
  <c r="C7" i="3"/>
  <c r="C10" i="3"/>
  <c r="C3" i="3"/>
  <c r="B31" i="3"/>
  <c r="C6" i="3"/>
  <c r="C2" i="3"/>
  <c r="C11" i="3"/>
  <c r="C5" i="3"/>
  <c r="C18" i="3"/>
  <c r="C15" i="3"/>
  <c r="C17" i="3"/>
  <c r="C14" i="3"/>
</calcChain>
</file>

<file path=xl/sharedStrings.xml><?xml version="1.0" encoding="utf-8"?>
<sst xmlns="http://schemas.openxmlformats.org/spreadsheetml/2006/main" count="20" uniqueCount="10">
  <si>
    <t>Datos</t>
  </si>
  <si>
    <t>Media</t>
  </si>
  <si>
    <t>Mediana</t>
  </si>
  <si>
    <t>Moda</t>
  </si>
  <si>
    <t>Varianza</t>
  </si>
  <si>
    <t>Desviación estándar</t>
  </si>
  <si>
    <t>(X-Media)^2</t>
  </si>
  <si>
    <t>Participante puntaje 38</t>
  </si>
  <si>
    <t>Participante puntaje 18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</si>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</sst>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center"/>
    </xf>
    <xf numFmtId="0" fontId="0" fillId="2" borderId="0" xfId="0" applyFill="1"/>
    <xf numFmtId="0" fontId="0" fillId="3" borderId="0" xfId="0" applyFill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CO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Escala de Autoestima de Rosenberg</a:t>
            </a:r>
            <a:endPara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1B6E950A-E5CA-4D59-BE83-F878F8E31BB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CO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Escala de Razonamiento Abstracto</a:t>
            </a:r>
            <a:endPara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1B6E950A-E5CA-4D59-BE83-F878F8E31BB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381001</xdr:colOff>
      <xdr:row>0</xdr:row>
      <xdr:rowOff>0</xdr:rowOff>
    </xdr:from>
    <xdr:to>
      <xdr:col>11</xdr:col>
      <xdr:colOff>381001</xdr:colOff>
      <xdr:row>17</xdr:row>
      <xdr:rowOff>50799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7350E238-C4E9-6EBA-D9BE-938BA18CD1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43351" y="0"/>
              <a:ext cx="5334000" cy="31813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304800</xdr:colOff>
      <xdr:row>27</xdr:row>
      <xdr:rowOff>120650</xdr:rowOff>
    </xdr:to>
    <xdr:sp macro="" textlink="">
      <xdr:nvSpPr>
        <xdr:cNvPr id="1035" name="AutoShape 11" descr="Distribución Normal Estándar">
          <a:extLst>
            <a:ext uri="{FF2B5EF4-FFF2-40B4-BE49-F238E27FC236}">
              <a16:creationId xmlns:a16="http://schemas.microsoft.com/office/drawing/2014/main" id="{C9810036-A4EE-1931-4F2F-3DC86656F030}"/>
            </a:ext>
          </a:extLst>
        </xdr:cNvPr>
        <xdr:cNvSpPr>
          <a:spLocks noChangeAspect="1" noChangeArrowheads="1"/>
        </xdr:cNvSpPr>
      </xdr:nvSpPr>
      <xdr:spPr bwMode="auto">
        <a:xfrm>
          <a:off x="4483100" y="478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304800</xdr:colOff>
      <xdr:row>37</xdr:row>
      <xdr:rowOff>120650</xdr:rowOff>
    </xdr:to>
    <xdr:sp macro="" textlink="">
      <xdr:nvSpPr>
        <xdr:cNvPr id="1036" name="AutoShape 12" descr="distribución normal gran curva de campana">
          <a:extLst>
            <a:ext uri="{FF2B5EF4-FFF2-40B4-BE49-F238E27FC236}">
              <a16:creationId xmlns:a16="http://schemas.microsoft.com/office/drawing/2014/main" id="{0B96F0D4-7263-DF59-BF48-2ACF969AF649}"/>
            </a:ext>
          </a:extLst>
        </xdr:cNvPr>
        <xdr:cNvSpPr>
          <a:spLocks noChangeAspect="1" noChangeArrowheads="1"/>
        </xdr:cNvSpPr>
      </xdr:nvSpPr>
      <xdr:spPr bwMode="auto">
        <a:xfrm>
          <a:off x="4483100" y="66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304800</xdr:colOff>
      <xdr:row>22</xdr:row>
      <xdr:rowOff>120650</xdr:rowOff>
    </xdr:to>
    <xdr:sp macro="" textlink="">
      <xdr:nvSpPr>
        <xdr:cNvPr id="1037" name="AutoShape 13" descr="distribución normal gran curva de campana">
          <a:extLst>
            <a:ext uri="{FF2B5EF4-FFF2-40B4-BE49-F238E27FC236}">
              <a16:creationId xmlns:a16="http://schemas.microsoft.com/office/drawing/2014/main" id="{DD6567C4-F1DA-D361-8179-5E850BCB58AD}"/>
            </a:ext>
          </a:extLst>
        </xdr:cNvPr>
        <xdr:cNvSpPr>
          <a:spLocks noChangeAspect="1" noChangeArrowheads="1"/>
        </xdr:cNvSpPr>
      </xdr:nvSpPr>
      <xdr:spPr bwMode="auto">
        <a:xfrm>
          <a:off x="5245100" y="386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692149</xdr:colOff>
      <xdr:row>20</xdr:row>
      <xdr:rowOff>139700</xdr:rowOff>
    </xdr:from>
    <xdr:to>
      <xdr:col>12</xdr:col>
      <xdr:colOff>489638</xdr:colOff>
      <xdr:row>37</xdr:row>
      <xdr:rowOff>63500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5B23D1-7A7C-70C0-1D15-4BB3759FA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13249" y="3822700"/>
          <a:ext cx="5893489" cy="3054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381001</xdr:colOff>
      <xdr:row>0</xdr:row>
      <xdr:rowOff>0</xdr:rowOff>
    </xdr:from>
    <xdr:to>
      <xdr:col>11</xdr:col>
      <xdr:colOff>381001</xdr:colOff>
      <xdr:row>17</xdr:row>
      <xdr:rowOff>50799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89E60488-9AE2-41D6-892C-023A15A60C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02101" y="0"/>
              <a:ext cx="5334000" cy="31813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304800</xdr:colOff>
      <xdr:row>27</xdr:row>
      <xdr:rowOff>120650</xdr:rowOff>
    </xdr:to>
    <xdr:sp macro="" textlink="">
      <xdr:nvSpPr>
        <xdr:cNvPr id="3" name="AutoShape 11" descr="Distribución Normal Estándar">
          <a:extLst>
            <a:ext uri="{FF2B5EF4-FFF2-40B4-BE49-F238E27FC236}">
              <a16:creationId xmlns:a16="http://schemas.microsoft.com/office/drawing/2014/main" id="{CBE18B75-65C6-4AAD-B08F-8C80AD388828}"/>
            </a:ext>
          </a:extLst>
        </xdr:cNvPr>
        <xdr:cNvSpPr>
          <a:spLocks noChangeAspect="1" noChangeArrowheads="1"/>
        </xdr:cNvSpPr>
      </xdr:nvSpPr>
      <xdr:spPr bwMode="auto">
        <a:xfrm>
          <a:off x="4483100" y="478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304800</xdr:colOff>
      <xdr:row>37</xdr:row>
      <xdr:rowOff>120650</xdr:rowOff>
    </xdr:to>
    <xdr:sp macro="" textlink="">
      <xdr:nvSpPr>
        <xdr:cNvPr id="4" name="AutoShape 12" descr="distribución normal gran curva de campana">
          <a:extLst>
            <a:ext uri="{FF2B5EF4-FFF2-40B4-BE49-F238E27FC236}">
              <a16:creationId xmlns:a16="http://schemas.microsoft.com/office/drawing/2014/main" id="{F36E918E-3170-482B-99E9-A6165143EA3A}"/>
            </a:ext>
          </a:extLst>
        </xdr:cNvPr>
        <xdr:cNvSpPr>
          <a:spLocks noChangeAspect="1" noChangeArrowheads="1"/>
        </xdr:cNvSpPr>
      </xdr:nvSpPr>
      <xdr:spPr bwMode="auto">
        <a:xfrm>
          <a:off x="4483100" y="66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304800</xdr:colOff>
      <xdr:row>22</xdr:row>
      <xdr:rowOff>120650</xdr:rowOff>
    </xdr:to>
    <xdr:sp macro="" textlink="">
      <xdr:nvSpPr>
        <xdr:cNvPr id="5" name="AutoShape 13" descr="distribución normal gran curva de campana">
          <a:extLst>
            <a:ext uri="{FF2B5EF4-FFF2-40B4-BE49-F238E27FC236}">
              <a16:creationId xmlns:a16="http://schemas.microsoft.com/office/drawing/2014/main" id="{587EDB66-4292-48F9-80C1-A004117A2846}"/>
            </a:ext>
          </a:extLst>
        </xdr:cNvPr>
        <xdr:cNvSpPr>
          <a:spLocks noChangeAspect="1" noChangeArrowheads="1"/>
        </xdr:cNvSpPr>
      </xdr:nvSpPr>
      <xdr:spPr bwMode="auto">
        <a:xfrm>
          <a:off x="5245100" y="386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692149</xdr:colOff>
      <xdr:row>20</xdr:row>
      <xdr:rowOff>139700</xdr:rowOff>
    </xdr:from>
    <xdr:to>
      <xdr:col>12</xdr:col>
      <xdr:colOff>489638</xdr:colOff>
      <xdr:row>37</xdr:row>
      <xdr:rowOff>63500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134A25F-0016-4BA8-9503-9666CC1DB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13249" y="3822700"/>
          <a:ext cx="5893489" cy="3054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35BAE-760A-4D45-BF9A-F607AE1AB0C5}">
  <dimension ref="A1:C32"/>
  <sheetViews>
    <sheetView workbookViewId="0">
      <selection activeCell="D22" sqref="D22"/>
    </sheetView>
  </sheetViews>
  <sheetFormatPr baseColWidth="10" defaultRowHeight="14.5" x14ac:dyDescent="0.35"/>
  <cols>
    <col min="1" max="1" width="19.6328125" bestFit="1" customWidth="1"/>
    <col min="2" max="2" width="11.81640625" bestFit="1" customWidth="1"/>
  </cols>
  <sheetData>
    <row r="1" spans="1:3" x14ac:dyDescent="0.35">
      <c r="A1" s="2" t="s">
        <v>0</v>
      </c>
      <c r="B1" s="8" t="s">
        <v>6</v>
      </c>
      <c r="C1" s="1" t="s">
        <v>9</v>
      </c>
    </row>
    <row r="2" spans="1:3" x14ac:dyDescent="0.35">
      <c r="A2" s="5">
        <v>18</v>
      </c>
      <c r="B2" s="5">
        <f>(A2-$B$24)^2</f>
        <v>117.5512465373961</v>
      </c>
      <c r="C2" s="3">
        <f>((A2-$B$24))/$B$28</f>
        <v>-2.0365119116331267</v>
      </c>
    </row>
    <row r="3" spans="1:3" x14ac:dyDescent="0.35">
      <c r="A3" s="5">
        <v>22</v>
      </c>
      <c r="B3" s="5">
        <f t="shared" ref="B3:B20" si="0">(A3-$B$24)^2</f>
        <v>46.814404432132953</v>
      </c>
      <c r="C3" s="3">
        <f t="shared" ref="C3:C20" si="1">((A3-$B$24))/$B$28</f>
        <v>-1.2851774199626527</v>
      </c>
    </row>
    <row r="4" spans="1:3" x14ac:dyDescent="0.35">
      <c r="A4" s="5">
        <v>22</v>
      </c>
      <c r="B4" s="5">
        <f t="shared" si="0"/>
        <v>46.814404432132953</v>
      </c>
      <c r="C4" s="3">
        <f t="shared" si="1"/>
        <v>-1.2851774199626527</v>
      </c>
    </row>
    <row r="5" spans="1:3" x14ac:dyDescent="0.35">
      <c r="A5" s="5">
        <v>24</v>
      </c>
      <c r="B5" s="5">
        <f t="shared" si="0"/>
        <v>23.445983379501374</v>
      </c>
      <c r="C5" s="3">
        <f t="shared" si="1"/>
        <v>-0.90951017412741564</v>
      </c>
    </row>
    <row r="6" spans="1:3" x14ac:dyDescent="0.35">
      <c r="A6" s="5">
        <v>24</v>
      </c>
      <c r="B6" s="5">
        <f t="shared" si="0"/>
        <v>23.445983379501374</v>
      </c>
      <c r="C6" s="3">
        <f t="shared" si="1"/>
        <v>-0.90951017412741564</v>
      </c>
    </row>
    <row r="7" spans="1:3" x14ac:dyDescent="0.35">
      <c r="A7" s="5">
        <v>26</v>
      </c>
      <c r="B7" s="5">
        <f t="shared" si="0"/>
        <v>8.0775623268698009</v>
      </c>
      <c r="C7" s="3">
        <f t="shared" si="1"/>
        <v>-0.53384292829217872</v>
      </c>
    </row>
    <row r="8" spans="1:3" x14ac:dyDescent="0.35">
      <c r="A8" s="5">
        <v>26</v>
      </c>
      <c r="B8" s="5">
        <f t="shared" si="0"/>
        <v>8.0775623268698009</v>
      </c>
      <c r="C8" s="3">
        <f t="shared" si="1"/>
        <v>-0.53384292829217872</v>
      </c>
    </row>
    <row r="9" spans="1:3" x14ac:dyDescent="0.35">
      <c r="A9" s="5">
        <v>28</v>
      </c>
      <c r="B9" s="5">
        <f t="shared" si="0"/>
        <v>0.70914127423822559</v>
      </c>
      <c r="C9" s="3">
        <f t="shared" si="1"/>
        <v>-0.15817568245694172</v>
      </c>
    </row>
    <row r="10" spans="1:3" x14ac:dyDescent="0.35">
      <c r="A10" s="5">
        <v>28</v>
      </c>
      <c r="B10" s="5">
        <f t="shared" si="0"/>
        <v>0.70914127423822559</v>
      </c>
      <c r="C10" s="3">
        <f t="shared" si="1"/>
        <v>-0.15817568245694172</v>
      </c>
    </row>
    <row r="11" spans="1:3" x14ac:dyDescent="0.35">
      <c r="A11" s="5">
        <v>28</v>
      </c>
      <c r="B11" s="5">
        <f t="shared" si="0"/>
        <v>0.70914127423822559</v>
      </c>
      <c r="C11" s="3">
        <f t="shared" si="1"/>
        <v>-0.15817568245694172</v>
      </c>
    </row>
    <row r="12" spans="1:3" x14ac:dyDescent="0.35">
      <c r="A12" s="5">
        <v>30</v>
      </c>
      <c r="B12" s="5">
        <f t="shared" si="0"/>
        <v>1.3407202216066503</v>
      </c>
      <c r="C12" s="3">
        <f t="shared" si="1"/>
        <v>0.21749156337829528</v>
      </c>
    </row>
    <row r="13" spans="1:3" x14ac:dyDescent="0.35">
      <c r="A13" s="5">
        <v>30</v>
      </c>
      <c r="B13" s="5">
        <f t="shared" si="0"/>
        <v>1.3407202216066503</v>
      </c>
      <c r="C13" s="3">
        <f t="shared" si="1"/>
        <v>0.21749156337829528</v>
      </c>
    </row>
    <row r="14" spans="1:3" x14ac:dyDescent="0.35">
      <c r="A14" s="5">
        <v>32</v>
      </c>
      <c r="B14" s="5">
        <f t="shared" si="0"/>
        <v>9.9722991689750753</v>
      </c>
      <c r="C14" s="3">
        <f t="shared" si="1"/>
        <v>0.59315880921353226</v>
      </c>
    </row>
    <row r="15" spans="1:3" x14ac:dyDescent="0.35">
      <c r="A15" s="5">
        <v>32</v>
      </c>
      <c r="B15" s="5">
        <f t="shared" si="0"/>
        <v>9.9722991689750753</v>
      </c>
      <c r="C15" s="3">
        <f t="shared" si="1"/>
        <v>0.59315880921353226</v>
      </c>
    </row>
    <row r="16" spans="1:3" x14ac:dyDescent="0.35">
      <c r="A16" s="5">
        <v>34</v>
      </c>
      <c r="B16" s="5">
        <f t="shared" si="0"/>
        <v>26.603878116343498</v>
      </c>
      <c r="C16" s="3">
        <f t="shared" si="1"/>
        <v>0.96882605504876929</v>
      </c>
    </row>
    <row r="17" spans="1:3" x14ac:dyDescent="0.35">
      <c r="A17" s="5">
        <v>34</v>
      </c>
      <c r="B17" s="5">
        <f t="shared" si="0"/>
        <v>26.603878116343498</v>
      </c>
      <c r="C17" s="3">
        <f t="shared" si="1"/>
        <v>0.96882605504876929</v>
      </c>
    </row>
    <row r="18" spans="1:3" x14ac:dyDescent="0.35">
      <c r="A18" s="5">
        <v>36</v>
      </c>
      <c r="B18" s="5">
        <f t="shared" si="0"/>
        <v>51.235457063711927</v>
      </c>
      <c r="C18" s="3">
        <f t="shared" si="1"/>
        <v>1.3444933008840063</v>
      </c>
    </row>
    <row r="19" spans="1:3" x14ac:dyDescent="0.35">
      <c r="A19" s="5">
        <v>36</v>
      </c>
      <c r="B19" s="5">
        <f t="shared" si="0"/>
        <v>51.235457063711927</v>
      </c>
      <c r="C19" s="3">
        <f t="shared" si="1"/>
        <v>1.3444933008840063</v>
      </c>
    </row>
    <row r="20" spans="1:3" x14ac:dyDescent="0.35">
      <c r="A20" s="5">
        <v>38</v>
      </c>
      <c r="B20" s="5">
        <f t="shared" si="0"/>
        <v>83.867036011080344</v>
      </c>
      <c r="C20" s="3">
        <f t="shared" si="1"/>
        <v>1.7201605467192431</v>
      </c>
    </row>
    <row r="21" spans="1:3" x14ac:dyDescent="0.35">
      <c r="A21" s="4"/>
    </row>
    <row r="24" spans="1:3" x14ac:dyDescent="0.35">
      <c r="A24" s="6" t="s">
        <v>1</v>
      </c>
      <c r="B24" s="6">
        <f>AVERAGE(A2:A20)</f>
        <v>28.842105263157894</v>
      </c>
    </row>
    <row r="25" spans="1:3" x14ac:dyDescent="0.35">
      <c r="A25" s="6" t="s">
        <v>2</v>
      </c>
      <c r="B25" s="6">
        <f>MEDIAN(A2:A20)</f>
        <v>28</v>
      </c>
    </row>
    <row r="26" spans="1:3" x14ac:dyDescent="0.35">
      <c r="A26" s="6" t="s">
        <v>3</v>
      </c>
      <c r="B26" s="6">
        <f>MODE(A2:A20)</f>
        <v>28</v>
      </c>
    </row>
    <row r="27" spans="1:3" x14ac:dyDescent="0.35">
      <c r="A27" s="7" t="s">
        <v>4</v>
      </c>
      <c r="B27" s="7">
        <f>SUM(B2:B20)/19</f>
        <v>28.343490304709139</v>
      </c>
    </row>
    <row r="28" spans="1:3" x14ac:dyDescent="0.35">
      <c r="A28" s="7" t="s">
        <v>5</v>
      </c>
      <c r="B28" s="7">
        <f>SQRT(B27)</f>
        <v>5.3238604700639121</v>
      </c>
    </row>
    <row r="31" spans="1:3" x14ac:dyDescent="0.35">
      <c r="A31" t="s">
        <v>7</v>
      </c>
      <c r="B31">
        <f>(A20-B24)/B28</f>
        <v>1.7201605467192431</v>
      </c>
    </row>
    <row r="32" spans="1:3" x14ac:dyDescent="0.35">
      <c r="A32" t="s">
        <v>8</v>
      </c>
      <c r="B32">
        <f>(A2-B24)/B28</f>
        <v>-2.0365119116331267</v>
      </c>
    </row>
  </sheetData>
  <autoFilter ref="A1:A20" xr:uid="{A9535BAE-760A-4D45-BF9A-F607AE1AB0C5}">
    <sortState xmlns:xlrd2="http://schemas.microsoft.com/office/spreadsheetml/2017/richdata2" ref="A2:A20">
      <sortCondition ref="A1:A20"/>
    </sortState>
  </autoFilter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D0C41-671E-4B41-A7B3-46B942439290}">
  <dimension ref="A1:C32"/>
  <sheetViews>
    <sheetView tabSelected="1" workbookViewId="0">
      <selection activeCell="D6" sqref="D6"/>
    </sheetView>
  </sheetViews>
  <sheetFormatPr baseColWidth="10" defaultRowHeight="14.5" x14ac:dyDescent="0.35"/>
  <cols>
    <col min="1" max="1" width="19.6328125" bestFit="1" customWidth="1"/>
    <col min="2" max="2" width="11.81640625" bestFit="1" customWidth="1"/>
  </cols>
  <sheetData>
    <row r="1" spans="1:3" x14ac:dyDescent="0.35">
      <c r="A1" s="2" t="s">
        <v>0</v>
      </c>
      <c r="B1" s="8" t="s">
        <v>6</v>
      </c>
      <c r="C1" s="2" t="s">
        <v>9</v>
      </c>
    </row>
    <row r="2" spans="1:3" x14ac:dyDescent="0.35">
      <c r="A2" s="5">
        <v>8</v>
      </c>
      <c r="B2" s="5">
        <f>(A2-$B$24)^2</f>
        <v>29.387811634349024</v>
      </c>
      <c r="C2" s="3">
        <f>((A2-$B$24))/$B$28</f>
        <v>-1.9514016535547085</v>
      </c>
    </row>
    <row r="3" spans="1:3" x14ac:dyDescent="0.35">
      <c r="A3" s="5">
        <v>10</v>
      </c>
      <c r="B3" s="5">
        <f t="shared" ref="B3:B20" si="0">(A3-$B$24)^2</f>
        <v>11.703601108033238</v>
      </c>
      <c r="C3" s="3">
        <f t="shared" ref="C3:C20" si="1">((A3-$B$24))/$B$28</f>
        <v>-1.2314670629228743</v>
      </c>
    </row>
    <row r="4" spans="1:3" x14ac:dyDescent="0.35">
      <c r="A4" s="5">
        <v>10</v>
      </c>
      <c r="B4" s="5">
        <f t="shared" si="0"/>
        <v>11.703601108033238</v>
      </c>
      <c r="C4" s="3">
        <f t="shared" si="1"/>
        <v>-1.2314670629228743</v>
      </c>
    </row>
    <row r="5" spans="1:3" x14ac:dyDescent="0.35">
      <c r="A5" s="5">
        <v>11</v>
      </c>
      <c r="B5" s="5">
        <f t="shared" si="0"/>
        <v>5.8614958448753436</v>
      </c>
      <c r="C5" s="3">
        <f t="shared" si="1"/>
        <v>-0.87149976760695713</v>
      </c>
    </row>
    <row r="6" spans="1:3" x14ac:dyDescent="0.35">
      <c r="A6" s="5">
        <v>11</v>
      </c>
      <c r="B6" s="5">
        <f t="shared" si="0"/>
        <v>5.8614958448753436</v>
      </c>
      <c r="C6" s="3">
        <f t="shared" si="1"/>
        <v>-0.87149976760695713</v>
      </c>
    </row>
    <row r="7" spans="1:3" x14ac:dyDescent="0.35">
      <c r="A7" s="5">
        <v>12</v>
      </c>
      <c r="B7" s="5">
        <f t="shared" si="0"/>
        <v>2.0193905817174502</v>
      </c>
      <c r="C7" s="3">
        <f t="shared" si="1"/>
        <v>-0.51153247229103993</v>
      </c>
    </row>
    <row r="8" spans="1:3" x14ac:dyDescent="0.35">
      <c r="A8" s="5">
        <v>12</v>
      </c>
      <c r="B8" s="5">
        <f t="shared" si="0"/>
        <v>2.0193905817174502</v>
      </c>
      <c r="C8" s="3">
        <f t="shared" si="1"/>
        <v>-0.51153247229103993</v>
      </c>
    </row>
    <row r="9" spans="1:3" x14ac:dyDescent="0.35">
      <c r="A9" s="5">
        <v>12</v>
      </c>
      <c r="B9" s="5">
        <f t="shared" si="0"/>
        <v>2.0193905817174502</v>
      </c>
      <c r="C9" s="3">
        <f t="shared" si="1"/>
        <v>-0.51153247229103993</v>
      </c>
    </row>
    <row r="10" spans="1:3" x14ac:dyDescent="0.35">
      <c r="A10" s="5">
        <v>13</v>
      </c>
      <c r="B10" s="5">
        <f t="shared" si="0"/>
        <v>0.1772853185595564</v>
      </c>
      <c r="C10" s="3">
        <f t="shared" si="1"/>
        <v>-0.15156517697512284</v>
      </c>
    </row>
    <row r="11" spans="1:3" x14ac:dyDescent="0.35">
      <c r="A11" s="5">
        <v>13</v>
      </c>
      <c r="B11" s="5">
        <f t="shared" si="0"/>
        <v>0.1772853185595564</v>
      </c>
      <c r="C11" s="3">
        <f t="shared" si="1"/>
        <v>-0.15156517697512284</v>
      </c>
    </row>
    <row r="12" spans="1:3" x14ac:dyDescent="0.35">
      <c r="A12" s="5">
        <v>14</v>
      </c>
      <c r="B12" s="5">
        <f t="shared" si="0"/>
        <v>0.33518005540166257</v>
      </c>
      <c r="C12" s="3">
        <f t="shared" si="1"/>
        <v>0.20840211834079431</v>
      </c>
    </row>
    <row r="13" spans="1:3" x14ac:dyDescent="0.35">
      <c r="A13" s="5">
        <v>14</v>
      </c>
      <c r="B13" s="5">
        <f t="shared" si="0"/>
        <v>0.33518005540166257</v>
      </c>
      <c r="C13" s="3">
        <f t="shared" si="1"/>
        <v>0.20840211834079431</v>
      </c>
    </row>
    <row r="14" spans="1:3" x14ac:dyDescent="0.35">
      <c r="A14" s="5">
        <v>15</v>
      </c>
      <c r="B14" s="5">
        <f t="shared" si="0"/>
        <v>2.4930747922437688</v>
      </c>
      <c r="C14" s="3">
        <f t="shared" si="1"/>
        <v>0.56836941365671145</v>
      </c>
    </row>
    <row r="15" spans="1:3" x14ac:dyDescent="0.35">
      <c r="A15" s="5">
        <v>15</v>
      </c>
      <c r="B15" s="5">
        <f t="shared" si="0"/>
        <v>2.4930747922437688</v>
      </c>
      <c r="C15" s="3">
        <f t="shared" si="1"/>
        <v>0.56836941365671145</v>
      </c>
    </row>
    <row r="16" spans="1:3" x14ac:dyDescent="0.35">
      <c r="A16" s="5">
        <v>16</v>
      </c>
      <c r="B16" s="5">
        <f t="shared" si="0"/>
        <v>6.6509695290858746</v>
      </c>
      <c r="C16" s="3">
        <f t="shared" si="1"/>
        <v>0.92833670897262854</v>
      </c>
    </row>
    <row r="17" spans="1:3" x14ac:dyDescent="0.35">
      <c r="A17" s="5">
        <v>16</v>
      </c>
      <c r="B17" s="5">
        <f t="shared" si="0"/>
        <v>6.6509695290858746</v>
      </c>
      <c r="C17" s="3">
        <f t="shared" si="1"/>
        <v>0.92833670897262854</v>
      </c>
    </row>
    <row r="18" spans="1:3" x14ac:dyDescent="0.35">
      <c r="A18" s="5">
        <v>17</v>
      </c>
      <c r="B18" s="5">
        <f t="shared" si="0"/>
        <v>12.808864265927982</v>
      </c>
      <c r="C18" s="3">
        <f t="shared" si="1"/>
        <v>1.2883040042885456</v>
      </c>
    </row>
    <row r="19" spans="1:3" x14ac:dyDescent="0.35">
      <c r="A19" s="5">
        <v>17</v>
      </c>
      <c r="B19" s="5">
        <f t="shared" si="0"/>
        <v>12.808864265927982</v>
      </c>
      <c r="C19" s="3">
        <f t="shared" si="1"/>
        <v>1.2883040042885456</v>
      </c>
    </row>
    <row r="20" spans="1:3" x14ac:dyDescent="0.35">
      <c r="A20" s="5">
        <v>19</v>
      </c>
      <c r="B20" s="5">
        <f t="shared" si="0"/>
        <v>31.124653739612192</v>
      </c>
      <c r="C20" s="3">
        <f t="shared" si="1"/>
        <v>2.00823859492038</v>
      </c>
    </row>
    <row r="21" spans="1:3" x14ac:dyDescent="0.35">
      <c r="A21" s="4"/>
    </row>
    <row r="24" spans="1:3" x14ac:dyDescent="0.35">
      <c r="A24" s="6" t="s">
        <v>1</v>
      </c>
      <c r="B24" s="6">
        <f>AVERAGE(A2:A20)</f>
        <v>13.421052631578947</v>
      </c>
    </row>
    <row r="25" spans="1:3" x14ac:dyDescent="0.35">
      <c r="A25" s="6" t="s">
        <v>2</v>
      </c>
      <c r="B25" s="6">
        <f>MEDIAN(A2:A20)</f>
        <v>13</v>
      </c>
    </row>
    <row r="26" spans="1:3" x14ac:dyDescent="0.35">
      <c r="A26" s="6" t="s">
        <v>3</v>
      </c>
      <c r="B26" s="6">
        <f>MODE(A2:A20)</f>
        <v>12</v>
      </c>
    </row>
    <row r="27" spans="1:3" x14ac:dyDescent="0.35">
      <c r="A27" s="7" t="s">
        <v>4</v>
      </c>
      <c r="B27" s="7">
        <f>SUM(B2:B20)/19</f>
        <v>7.717451523545706</v>
      </c>
    </row>
    <row r="28" spans="1:3" x14ac:dyDescent="0.35">
      <c r="A28" s="7" t="s">
        <v>5</v>
      </c>
      <c r="B28" s="7">
        <f>SQRT(B27)</f>
        <v>2.7780301516624522</v>
      </c>
    </row>
    <row r="31" spans="1:3" x14ac:dyDescent="0.35">
      <c r="A31" t="s">
        <v>7</v>
      </c>
      <c r="B31">
        <f>(A20-B24)/B28</f>
        <v>2.00823859492038</v>
      </c>
    </row>
    <row r="32" spans="1:3" x14ac:dyDescent="0.35">
      <c r="A32" t="s">
        <v>8</v>
      </c>
      <c r="B32">
        <f>(A2-B24)/B28</f>
        <v>-1.9514016535547085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Auto Estima</vt:lpstr>
      <vt:lpstr>Razonamiento Abstracto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Ramirez Avila</dc:creator>
  <cp:lastModifiedBy>Juan David Ramirez Avila</cp:lastModifiedBy>
  <dcterms:created xsi:type="dcterms:W3CDTF">2026-02-15T16:00:48Z</dcterms:created>
  <dcterms:modified xsi:type="dcterms:W3CDTF">2026-02-15T17:05:21Z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2026-02-15T16:50:50Z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4d944af7-4a35-40e8-bab5-bb22f43e1580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